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Varsity\2025\S2\Programming 2B - PROG6212\PROG6212_Marking\Part 1\BCA2_G3\Batch 3\"/>
    </mc:Choice>
  </mc:AlternateContent>
  <xr:revisionPtr revIDLastSave="0" documentId="13_ncr:1_{18CB61D8-E5E1-4BB3-B758-CC15BAD43A73}" xr6:coauthVersionLast="47" xr6:coauthVersionMax="47" xr10:uidLastSave="{00000000-0000-0000-0000-000000000000}"/>
  <bookViews>
    <workbookView xWindow="-96" yWindow="0" windowWidth="20520" windowHeight="166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1" l="1"/>
  <c r="D40" i="1"/>
  <c r="C40" i="1"/>
  <c r="B40" i="1"/>
  <c r="E35" i="1"/>
  <c r="D35" i="1"/>
  <c r="C35" i="1"/>
  <c r="B35" i="1"/>
  <c r="E30" i="1"/>
  <c r="D30" i="1"/>
  <c r="C30" i="1"/>
  <c r="B30" i="1"/>
  <c r="E25" i="1"/>
  <c r="D25" i="1"/>
  <c r="C25" i="1"/>
  <c r="B25" i="1"/>
  <c r="E20" i="1"/>
  <c r="D20" i="1"/>
  <c r="C20" i="1"/>
  <c r="B20" i="1"/>
  <c r="E15" i="1"/>
  <c r="D15" i="1"/>
  <c r="C15" i="1"/>
  <c r="E2" i="1"/>
  <c r="F3" i="1" s="1"/>
  <c r="F2" i="1" l="1"/>
  <c r="E3" i="1"/>
  <c r="E5" i="1" l="1"/>
  <c r="F5" i="1"/>
</calcChain>
</file>

<file path=xl/sharedStrings.xml><?xml version="1.0" encoding="utf-8"?>
<sst xmlns="http://schemas.openxmlformats.org/spreadsheetml/2006/main" count="58" uniqueCount="58">
  <si>
    <t>Programming 2B PROG6212 2025 - POE Part 1</t>
  </si>
  <si>
    <t>Student Name:</t>
  </si>
  <si>
    <t>Taji Mulisa</t>
  </si>
  <si>
    <t xml:space="preserve">TOTAL </t>
  </si>
  <si>
    <t>Student Number:</t>
  </si>
  <si>
    <t>ST10460420</t>
  </si>
  <si>
    <t xml:space="preserve">PERCENTAGE </t>
  </si>
  <si>
    <t>Student Email:</t>
  </si>
  <si>
    <t>ST10460420@vcconnect.edu.za</t>
  </si>
  <si>
    <t>SUBTRACTIONS (%)</t>
  </si>
  <si>
    <t xml:space="preserve">Similarity: </t>
  </si>
  <si>
    <t xml:space="preserve">FINAL ROUNDED MARK </t>
  </si>
  <si>
    <t xml:space="preserve">AI: </t>
  </si>
  <si>
    <t xml:space="preserve">Word Count: </t>
  </si>
  <si>
    <t>N/A</t>
  </si>
  <si>
    <t>Portfolio of Evidence</t>
  </si>
  <si>
    <t>Part 1</t>
  </si>
  <si>
    <t>Criterion</t>
  </si>
  <si>
    <t>Does not meet the required standard</t>
  </si>
  <si>
    <t>Meets the required standard</t>
  </si>
  <si>
    <t>Partially exceeds the required standard</t>
  </si>
  <si>
    <t>Greatly exceeds the required standard</t>
  </si>
  <si>
    <t>Marks</t>
  </si>
  <si>
    <t>Documentation: Design Choices and Structure.</t>
  </si>
  <si>
    <t>The explanation of design choices, database structure, and GUI layout lacks clarity and depth.
The rationale behind design decisions is unclear or poorly justified.</t>
  </si>
  <si>
    <t>The explanation of design choices, database structure, and GUI layout is clear and adequately detailed.
The rationale behind design decisions is reasonable but may lack some depth or coherence.</t>
  </si>
  <si>
    <t>The explanation of design choices, database structure, and GUI layout demonstrates clarity, depth, and coherence.
The rationale behind design decisions is well-developed and logically presented.</t>
  </si>
  <si>
    <t>The explanation of design choices, database structure, and GUI layout is exceptionally clear, detailed, and coherent.
The rationale behind design decisions is comprehensive and effectively justifies all aspects of the design.</t>
  </si>
  <si>
    <t>0 – 7</t>
  </si>
  <si>
    <t>Documentation: Assumptions and Constraints</t>
  </si>
  <si>
    <t>Assumptions or constraints are not provided or are irrelevant to the project requirements.</t>
  </si>
  <si>
    <t>Relevant assumptions or constraints are provided but lack detail or clarity.</t>
  </si>
  <si>
    <t>Relevant assumptions or constraints are clearly stated and aligned with the project requirements.</t>
  </si>
  <si>
    <t>Comprehensive and well-explained assumptions or constraints are provided, demonstrating a thorough understanding of project requirements.</t>
  </si>
  <si>
    <t>UML Class Diagram for Databases: Accuracy and Completeness</t>
  </si>
  <si>
    <t>The class diagram is inaccurate or incomplete, failing to represent the data requirements effectively.</t>
  </si>
  <si>
    <t>The class diagram is mostly accurate and complete, representing most data requirements but with some inaccuracies or omissions.</t>
  </si>
  <si>
    <t>The class diagram is accurate and complete, effectively representing the data requirements.</t>
  </si>
  <si>
    <t>The class diagram is highly accurate and complete, providing a comprehensive representation of all data requirements.</t>
  </si>
  <si>
    <t>Project Plan: Realism and Achievability</t>
  </si>
  <si>
    <t>The project plan is unrealistic or lacks detail, with unclear tasks, dependencies, or timelines.</t>
  </si>
  <si>
    <t>The project plan is somewhat realistic and achievable, outlining tasks, dependencies, and timeline with some clarity but lacking detail.</t>
  </si>
  <si>
    <t>The project plan is realistic and achievable, providing clear tasks, dependencies, and timeline with sufficient detail.</t>
  </si>
  <si>
    <t>The project plan is highly realistic and achievable, presenting clear, detailed tasks, dependencies, and timeline, demonstrating excellent planning skills.</t>
  </si>
  <si>
    <t>GUI UI: Design and User-Friendliness</t>
  </si>
  <si>
    <t>The GUI design lacks user-friendliness and intuitiveness, with poor layout and usability.</t>
  </si>
  <si>
    <t>The GUI design is somewhat user-friendly and intuitive, with adequate layout and usability but room for improvement.</t>
  </si>
  <si>
    <t>The GUI design is user-friendly and intuitive, with good layout and usability.</t>
  </si>
  <si>
    <t>The GUI design is highly user-friendly and intuitive, with excellent layout and usability, exceeding expectations.</t>
  </si>
  <si>
    <t>Version Control: Commit Frequency and Descriptive Messages</t>
  </si>
  <si>
    <t>1 Commit is infrequent, and commit messages lack clarity or description of changes.</t>
  </si>
  <si>
    <t>2 Commits are somewhat frequent, but commit messages may lack clarity or detail.</t>
  </si>
  <si>
    <t>3 Commits are reasonably frequent and commit messages to provide clarity and detail regarding changes.</t>
  </si>
  <si>
    <t>5 Commits are frequent, and commit messages are clear, descriptive, and informative, demonstrating excellent version control practices</t>
  </si>
  <si>
    <t>No commits made</t>
  </si>
  <si>
    <t>Diagram may benefit from further detail like detailing the methods that the entities/classes could use</t>
  </si>
  <si>
    <t>Project plan needed to cover parts 1-3
In future see if you can try out using a Gantt chart</t>
  </si>
  <si>
    <t>Default colour theme
See if you can make design choices that give your application more soul
Using icons to help with readability would be a nice addition. The Nav bar is a nice place to start
there is some inconsistency with the styling of the nav bar 
is it blue and underlines or is it gray
Your views look quite lost in the empty space - you may find that centering them may help them feel less lost along with adding a other useful information like simple statistics of the claims
Number pending
Total Claimed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</si>
</sst>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9" x14ac:knownFonts="1">
    <font>
      <sz val="11"/>
      <color theme="1"/>
      <name val="Aptos Narrow"/>
      <family val="2"/>
      <scheme val="minor"/>
    </font>
    <font>
      <b/>
      <sz val="12"/>
      <color rgb="FF000000"/>
      <name val="Arial"/>
      <family val="2"/>
    </font>
    <font>
      <b/>
      <sz val="11"/>
      <color rgb="FF000000"/>
      <name val="Arial"/>
      <family val="2"/>
    </font>
    <font>
      <b/>
      <sz val="11"/>
      <color rgb="FFFF0000"/>
      <name val="Arial"/>
      <family val="2"/>
    </font>
    <font>
      <b/>
      <sz val="10"/>
      <color rgb="FF000000"/>
      <name val="Arial"/>
      <family val="2"/>
    </font>
    <font>
      <sz val="10"/>
      <color rgb="FF000000"/>
      <name val="Arial"/>
      <family val="2"/>
    </font>
    <font>
      <b/>
      <sz val="10"/>
      <color rgb="FFFF0000"/>
      <name val="Arial"/>
      <family val="2"/>
    </font>
    <font>
      <b/>
      <sz val="11"/>
      <color theme="1"/>
      <name val="Aptos Narrow"/>
      <family val="2"/>
      <scheme val="minor"/>
    </font>
    <font>
      <sz val="10"/>
      <color theme="1"/>
      <name val="Arial"/>
      <family val="2"/>
    </font>
  </fonts>
  <fills count="7">
    <fill>
      <patternFill patternType="none"/>
    </fill>
    <fill>
      <patternFill patternType="gray125"/>
    </fill>
    <fill>
      <patternFill patternType="solid">
        <fgColor rgb="FFC6D9F1"/>
        <bgColor indexed="64"/>
      </patternFill>
    </fill>
    <fill>
      <patternFill patternType="solid">
        <fgColor rgb="FFBFBFBF"/>
        <bgColor indexed="64"/>
      </patternFill>
    </fill>
    <fill>
      <patternFill patternType="solid">
        <fgColor rgb="FFF2F2F2"/>
        <bgColor indexed="64"/>
      </patternFill>
    </fill>
    <fill>
      <patternFill patternType="solid">
        <fgColor rgb="FFF7CAAC"/>
        <bgColor indexed="64"/>
      </patternFill>
    </fill>
    <fill>
      <patternFill patternType="solid">
        <fgColor theme="2" tint="-9.9978637043366805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3">
    <xf numFmtId="0" fontId="0" fillId="0" borderId="0" xfId="0"/>
    <xf numFmtId="0" fontId="1" fillId="0" borderId="0" xfId="0" applyFont="1" applyAlignment="1">
      <alignment horizontal="center"/>
    </xf>
    <xf numFmtId="3" fontId="0" fillId="0" borderId="0" xfId="0" applyNumberFormat="1"/>
    <xf numFmtId="0" fontId="2" fillId="2" borderId="1" xfId="0" applyFont="1" applyFill="1" applyBorder="1" applyAlignment="1">
      <alignment vertical="top" wrapText="1"/>
    </xf>
    <xf numFmtId="0" fontId="4" fillId="3" borderId="3" xfId="0" applyFont="1" applyFill="1" applyBorder="1" applyAlignment="1">
      <alignment vertical="center" wrapText="1"/>
    </xf>
    <xf numFmtId="164" fontId="5" fillId="4" borderId="4" xfId="0" applyNumberFormat="1" applyFont="1" applyFill="1" applyBorder="1" applyAlignment="1">
      <alignment vertical="center" wrapText="1"/>
    </xf>
    <xf numFmtId="0" fontId="4" fillId="4" borderId="4" xfId="0" applyFont="1" applyFill="1" applyBorder="1" applyAlignment="1">
      <alignment horizontal="right" vertical="center" wrapText="1"/>
    </xf>
    <xf numFmtId="0" fontId="4" fillId="3" borderId="5" xfId="0" applyFont="1" applyFill="1" applyBorder="1" applyAlignment="1">
      <alignment vertical="center" wrapText="1"/>
    </xf>
    <xf numFmtId="164" fontId="5" fillId="4" borderId="6" xfId="0" applyNumberFormat="1" applyFont="1" applyFill="1" applyBorder="1" applyAlignment="1">
      <alignment vertical="center" wrapText="1"/>
    </xf>
    <xf numFmtId="10" fontId="4" fillId="4" borderId="6" xfId="0" applyNumberFormat="1" applyFont="1" applyFill="1" applyBorder="1" applyAlignment="1">
      <alignment horizontal="right" vertical="center" wrapText="1"/>
    </xf>
    <xf numFmtId="0" fontId="5" fillId="0" borderId="6" xfId="0" applyFont="1" applyBorder="1" applyAlignment="1">
      <alignment vertical="center" wrapText="1"/>
    </xf>
    <xf numFmtId="0" fontId="6" fillId="0" borderId="6" xfId="0" applyFont="1" applyBorder="1" applyAlignment="1">
      <alignment vertical="center" wrapText="1"/>
    </xf>
    <xf numFmtId="0" fontId="4" fillId="5" borderId="5" xfId="0" applyFont="1" applyFill="1" applyBorder="1" applyAlignment="1">
      <alignment vertical="center" wrapText="1"/>
    </xf>
    <xf numFmtId="0" fontId="4" fillId="5" borderId="6" xfId="0" applyFont="1" applyFill="1" applyBorder="1" applyAlignment="1">
      <alignment horizontal="right" vertical="center" wrapText="1"/>
    </xf>
    <xf numFmtId="10" fontId="4" fillId="5" borderId="6" xfId="0" applyNumberFormat="1" applyFont="1" applyFill="1" applyBorder="1" applyAlignment="1">
      <alignment horizontal="right" vertical="center" wrapText="1"/>
    </xf>
    <xf numFmtId="165" fontId="0" fillId="0" borderId="0" xfId="0" applyNumberFormat="1"/>
    <xf numFmtId="0" fontId="4" fillId="3" borderId="9" xfId="0" applyFont="1" applyFill="1" applyBorder="1" applyAlignment="1">
      <alignment vertical="center" wrapText="1"/>
    </xf>
    <xf numFmtId="0" fontId="4" fillId="3" borderId="8" xfId="0" applyFont="1" applyFill="1" applyBorder="1" applyAlignment="1">
      <alignment horizontal="center" vertical="center" wrapText="1"/>
    </xf>
    <xf numFmtId="0" fontId="8" fillId="4" borderId="13" xfId="0" applyFont="1" applyFill="1" applyBorder="1" applyAlignment="1">
      <alignment vertical="top" wrapText="1"/>
    </xf>
    <xf numFmtId="0" fontId="4" fillId="4" borderId="12"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0" fillId="0" borderId="10" xfId="0" applyBorder="1"/>
    <xf numFmtId="0" fontId="8" fillId="0" borderId="9" xfId="0" applyFont="1" applyBorder="1" applyAlignment="1">
      <alignment horizontal="center" vertical="center" wrapText="1"/>
    </xf>
    <xf numFmtId="0" fontId="0" fillId="0" borderId="13" xfId="0" applyBorder="1"/>
    <xf numFmtId="0" fontId="2" fillId="2" borderId="1" xfId="0" applyFont="1" applyFill="1" applyBorder="1" applyAlignment="1">
      <alignment horizontal="center" vertical="top" wrapText="1"/>
    </xf>
    <xf numFmtId="0" fontId="0" fillId="0" borderId="2" xfId="0" applyBorder="1"/>
    <xf numFmtId="0" fontId="3" fillId="2" borderId="1" xfId="0" applyFont="1" applyFill="1" applyBorder="1" applyAlignment="1">
      <alignment horizontal="center" vertical="top" wrapText="1"/>
    </xf>
    <xf numFmtId="0" fontId="8" fillId="0" borderId="9" xfId="0" applyFont="1" applyBorder="1" applyAlignment="1">
      <alignment vertical="center" wrapText="1"/>
    </xf>
    <xf numFmtId="0" fontId="7" fillId="6" borderId="9" xfId="0" applyFont="1" applyFill="1" applyBorder="1" applyAlignment="1">
      <alignment horizontal="center"/>
    </xf>
    <xf numFmtId="0" fontId="0" fillId="0" borderId="7" xfId="0" applyBorder="1"/>
    <xf numFmtId="0" fontId="0" fillId="0" borderId="8" xfId="0" applyBorder="1"/>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
  <sheetViews>
    <sheetView tabSelected="1" workbookViewId="0">
      <selection activeCell="G21" sqref="G21"/>
    </sheetView>
  </sheetViews>
  <sheetFormatPr defaultRowHeight="14.4" x14ac:dyDescent="0.3"/>
  <cols>
    <col min="1" max="1" width="18.33203125" bestFit="1" customWidth="1"/>
    <col min="2" max="2" width="31.77734375" customWidth="1"/>
    <col min="3" max="3" width="28" customWidth="1"/>
    <col min="4" max="5" width="24.21875" customWidth="1"/>
    <col min="6" max="6" width="25" bestFit="1" customWidth="1"/>
    <col min="7" max="7" width="25.88671875" customWidth="1"/>
  </cols>
  <sheetData>
    <row r="1" spans="1:6" ht="16.2" customHeight="1" thickBot="1" x14ac:dyDescent="0.35">
      <c r="A1" s="31" t="s">
        <v>0</v>
      </c>
      <c r="B1" s="32"/>
      <c r="C1" s="32"/>
      <c r="D1" s="32"/>
      <c r="E1" s="32"/>
      <c r="F1" s="32"/>
    </row>
    <row r="2" spans="1:6" ht="15" customHeight="1" thickBot="1" x14ac:dyDescent="0.35">
      <c r="A2" s="3" t="s">
        <v>1</v>
      </c>
      <c r="B2" s="26" t="s">
        <v>2</v>
      </c>
      <c r="C2" s="25"/>
      <c r="D2" s="4" t="s">
        <v>3</v>
      </c>
      <c r="E2" s="5">
        <f>SUM($F$15,F20,F25,F30,F35,F40)</f>
        <v>51</v>
      </c>
      <c r="F2" s="6" t="str">
        <f>$E$2 &amp; "/100"</f>
        <v>51/100</v>
      </c>
    </row>
    <row r="3" spans="1:6" ht="15" customHeight="1" thickBot="1" x14ac:dyDescent="0.35">
      <c r="A3" s="3" t="s">
        <v>4</v>
      </c>
      <c r="B3" s="26" t="s">
        <v>5</v>
      </c>
      <c r="C3" s="25"/>
      <c r="D3" s="7" t="s">
        <v>6</v>
      </c>
      <c r="E3" s="8">
        <f>$E$2-($F$4*2)</f>
        <v>51</v>
      </c>
      <c r="F3" s="9">
        <f>$E$2/100</f>
        <v>0.51</v>
      </c>
    </row>
    <row r="4" spans="1:6" ht="15" customHeight="1" thickBot="1" x14ac:dyDescent="0.35">
      <c r="A4" s="3" t="s">
        <v>7</v>
      </c>
      <c r="B4" s="26" t="s">
        <v>8</v>
      </c>
      <c r="C4" s="25"/>
      <c r="D4" s="7" t="s">
        <v>9</v>
      </c>
      <c r="E4" s="10"/>
      <c r="F4" s="11">
        <v>0</v>
      </c>
    </row>
    <row r="5" spans="1:6" ht="15" customHeight="1" thickBot="1" x14ac:dyDescent="0.35">
      <c r="A5" s="3" t="s">
        <v>10</v>
      </c>
      <c r="B5" s="24"/>
      <c r="C5" s="25"/>
      <c r="D5" s="12" t="s">
        <v>11</v>
      </c>
      <c r="E5" s="13" t="str">
        <f>ROUNDUP($E$3,0) &amp; "/100"</f>
        <v>51/100</v>
      </c>
      <c r="F5" s="14">
        <f>ROUNDUP($E$3,0)/100</f>
        <v>0.51</v>
      </c>
    </row>
    <row r="6" spans="1:6" ht="15.6" customHeight="1" x14ac:dyDescent="0.3">
      <c r="A6" s="3" t="s">
        <v>12</v>
      </c>
      <c r="B6" s="24"/>
      <c r="C6" s="25"/>
      <c r="D6" s="1"/>
      <c r="E6" s="2"/>
    </row>
    <row r="7" spans="1:6" ht="16.2" customHeight="1" thickBot="1" x14ac:dyDescent="0.35">
      <c r="A7" s="3" t="s">
        <v>13</v>
      </c>
      <c r="B7" s="24" t="s">
        <v>14</v>
      </c>
      <c r="C7" s="25"/>
      <c r="D7" s="1"/>
      <c r="E7" s="15"/>
    </row>
    <row r="8" spans="1:6" ht="15" customHeight="1" thickBot="1" x14ac:dyDescent="0.35">
      <c r="A8" s="28" t="s">
        <v>15</v>
      </c>
      <c r="B8" s="29"/>
      <c r="C8" s="29"/>
      <c r="D8" s="29"/>
      <c r="E8" s="29"/>
      <c r="F8" s="30"/>
    </row>
    <row r="9" spans="1:6" ht="15" customHeight="1" thickBot="1" x14ac:dyDescent="0.35">
      <c r="A9" s="28" t="s">
        <v>16</v>
      </c>
      <c r="B9" s="29"/>
      <c r="C9" s="29"/>
      <c r="D9" s="29"/>
      <c r="E9" s="29"/>
      <c r="F9" s="30"/>
    </row>
    <row r="10" spans="1:6" ht="27" customHeight="1" thickBot="1" x14ac:dyDescent="0.35">
      <c r="A10" s="16" t="s">
        <v>17</v>
      </c>
      <c r="B10" s="17" t="s">
        <v>18</v>
      </c>
      <c r="C10" s="17" t="s">
        <v>19</v>
      </c>
      <c r="D10" s="17" t="s">
        <v>20</v>
      </c>
      <c r="E10" s="17" t="s">
        <v>21</v>
      </c>
      <c r="F10" s="17" t="s">
        <v>22</v>
      </c>
    </row>
    <row r="11" spans="1:6" x14ac:dyDescent="0.3">
      <c r="A11" s="20" t="s">
        <v>23</v>
      </c>
      <c r="B11" s="22" t="s">
        <v>24</v>
      </c>
      <c r="C11" s="22" t="s">
        <v>25</v>
      </c>
      <c r="D11" s="22" t="s">
        <v>26</v>
      </c>
      <c r="E11" s="22" t="s">
        <v>27</v>
      </c>
      <c r="F11" s="27"/>
    </row>
    <row r="12" spans="1:6" ht="14.4" customHeight="1" x14ac:dyDescent="0.3">
      <c r="A12" s="21"/>
      <c r="B12" s="21"/>
      <c r="C12" s="21"/>
      <c r="D12" s="21"/>
      <c r="E12" s="21"/>
      <c r="F12" s="21"/>
    </row>
    <row r="13" spans="1:6" ht="106.2" customHeight="1" x14ac:dyDescent="0.3">
      <c r="A13" s="21"/>
      <c r="B13" s="21"/>
      <c r="C13" s="21"/>
      <c r="D13" s="21"/>
      <c r="E13" s="21"/>
      <c r="F13" s="21"/>
    </row>
    <row r="14" spans="1:6" ht="15" customHeight="1" thickBot="1" x14ac:dyDescent="0.35">
      <c r="A14" s="21"/>
      <c r="B14" s="23"/>
      <c r="C14" s="23"/>
      <c r="D14" s="23"/>
      <c r="E14" s="23"/>
      <c r="F14" s="23"/>
    </row>
    <row r="15" spans="1:6" ht="15" customHeight="1" thickBot="1" x14ac:dyDescent="0.35">
      <c r="A15" s="18"/>
      <c r="B15" s="19" t="s">
        <v>28</v>
      </c>
      <c r="C15" s="19" t="str">
        <f>"8-10"</f>
        <v>8-10</v>
      </c>
      <c r="D15" s="19" t="str">
        <f>"11-12"</f>
        <v>11-12</v>
      </c>
      <c r="E15" s="19" t="str">
        <f>"13-15"</f>
        <v>13-15</v>
      </c>
      <c r="F15" s="19">
        <v>8</v>
      </c>
    </row>
    <row r="16" spans="1:6" ht="14.4" customHeight="1" x14ac:dyDescent="0.3">
      <c r="A16" s="20" t="s">
        <v>29</v>
      </c>
      <c r="B16" s="22" t="s">
        <v>30</v>
      </c>
      <c r="C16" s="22" t="s">
        <v>31</v>
      </c>
      <c r="D16" s="22" t="s">
        <v>32</v>
      </c>
      <c r="E16" s="22" t="s">
        <v>33</v>
      </c>
      <c r="F16" s="27"/>
    </row>
    <row r="17" spans="1:6" ht="15" customHeight="1" x14ac:dyDescent="0.3">
      <c r="A17" s="21"/>
      <c r="B17" s="21"/>
      <c r="C17" s="21"/>
      <c r="D17" s="21"/>
      <c r="E17" s="21"/>
      <c r="F17" s="21"/>
    </row>
    <row r="18" spans="1:6" ht="15" customHeight="1" x14ac:dyDescent="0.3">
      <c r="A18" s="21"/>
      <c r="B18" s="21"/>
      <c r="C18" s="21"/>
      <c r="D18" s="21"/>
      <c r="E18" s="21"/>
      <c r="F18" s="21"/>
    </row>
    <row r="19" spans="1:6" ht="45.6" customHeight="1" thickBot="1" x14ac:dyDescent="0.35">
      <c r="A19" s="21"/>
      <c r="B19" s="23"/>
      <c r="C19" s="23"/>
      <c r="D19" s="23"/>
      <c r="E19" s="23"/>
      <c r="F19" s="23"/>
    </row>
    <row r="20" spans="1:6" ht="15" customHeight="1" thickBot="1" x14ac:dyDescent="0.35">
      <c r="A20" s="18"/>
      <c r="B20" s="19" t="str">
        <f>"0-1"</f>
        <v>0-1</v>
      </c>
      <c r="C20" s="19" t="str">
        <f>"2"</f>
        <v>2</v>
      </c>
      <c r="D20" s="19" t="str">
        <f>"3-4"</f>
        <v>3-4</v>
      </c>
      <c r="E20" s="19" t="str">
        <f>"5"</f>
        <v>5</v>
      </c>
      <c r="F20" s="19">
        <v>3</v>
      </c>
    </row>
    <row r="21" spans="1:6" ht="79.2" customHeight="1" x14ac:dyDescent="0.3">
      <c r="A21" s="20" t="s">
        <v>34</v>
      </c>
      <c r="B21" s="22" t="s">
        <v>35</v>
      </c>
      <c r="C21" s="22" t="s">
        <v>36</v>
      </c>
      <c r="D21" s="22" t="s">
        <v>37</v>
      </c>
      <c r="E21" s="22" t="s">
        <v>38</v>
      </c>
      <c r="F21" s="27" t="s">
        <v>55</v>
      </c>
    </row>
    <row r="22" spans="1:6" x14ac:dyDescent="0.3">
      <c r="A22" s="21"/>
      <c r="B22" s="21"/>
      <c r="C22" s="21"/>
      <c r="D22" s="21"/>
      <c r="E22" s="21"/>
      <c r="F22" s="21"/>
    </row>
    <row r="23" spans="1:6" x14ac:dyDescent="0.3">
      <c r="A23" s="21"/>
      <c r="B23" s="21"/>
      <c r="C23" s="21"/>
      <c r="D23" s="21"/>
      <c r="E23" s="21"/>
      <c r="F23" s="21"/>
    </row>
    <row r="24" spans="1:6" ht="15" customHeight="1" thickBot="1" x14ac:dyDescent="0.35">
      <c r="A24" s="21"/>
      <c r="B24" s="23"/>
      <c r="C24" s="23"/>
      <c r="D24" s="23"/>
      <c r="E24" s="23"/>
      <c r="F24" s="23"/>
    </row>
    <row r="25" spans="1:6" ht="15" customHeight="1" thickBot="1" x14ac:dyDescent="0.35">
      <c r="A25" s="18"/>
      <c r="B25" s="19" t="str">
        <f>"0-9"</f>
        <v>0-9</v>
      </c>
      <c r="C25" s="19" t="str">
        <f>"10-14"</f>
        <v>10-14</v>
      </c>
      <c r="D25" s="19" t="str">
        <f>"15-17"</f>
        <v>15-17</v>
      </c>
      <c r="E25" s="19" t="str">
        <f>"18-20"</f>
        <v>18-20</v>
      </c>
      <c r="F25" s="19">
        <v>15</v>
      </c>
    </row>
    <row r="26" spans="1:6" ht="92.4" customHeight="1" x14ac:dyDescent="0.3">
      <c r="A26" s="20" t="s">
        <v>39</v>
      </c>
      <c r="B26" s="22" t="s">
        <v>40</v>
      </c>
      <c r="C26" s="22" t="s">
        <v>41</v>
      </c>
      <c r="D26" s="22" t="s">
        <v>42</v>
      </c>
      <c r="E26" s="22" t="s">
        <v>43</v>
      </c>
      <c r="F26" s="27" t="s">
        <v>56</v>
      </c>
    </row>
    <row r="27" spans="1:6" x14ac:dyDescent="0.3">
      <c r="A27" s="21"/>
      <c r="B27" s="21"/>
      <c r="C27" s="21"/>
      <c r="D27" s="21"/>
      <c r="E27" s="21"/>
      <c r="F27" s="21"/>
    </row>
    <row r="28" spans="1:6" x14ac:dyDescent="0.3">
      <c r="A28" s="21"/>
      <c r="B28" s="21"/>
      <c r="C28" s="21"/>
      <c r="D28" s="21"/>
      <c r="E28" s="21"/>
      <c r="F28" s="21"/>
    </row>
    <row r="29" spans="1:6" ht="15" customHeight="1" thickBot="1" x14ac:dyDescent="0.35">
      <c r="A29" s="21"/>
      <c r="B29" s="23"/>
      <c r="C29" s="23"/>
      <c r="D29" s="23"/>
      <c r="E29" s="23"/>
      <c r="F29" s="23"/>
    </row>
    <row r="30" spans="1:6" ht="15" customHeight="1" thickBot="1" x14ac:dyDescent="0.35">
      <c r="A30" s="18"/>
      <c r="B30" s="19" t="str">
        <f>"0-12"</f>
        <v>0-12</v>
      </c>
      <c r="C30" s="19" t="str">
        <f>"13-18"</f>
        <v>13-18</v>
      </c>
      <c r="D30" s="19" t="str">
        <f>"19-22"</f>
        <v>19-22</v>
      </c>
      <c r="E30" s="19" t="str">
        <f>"23-25"</f>
        <v>23-25</v>
      </c>
      <c r="F30" s="19">
        <v>12</v>
      </c>
    </row>
    <row r="31" spans="1:6" ht="320.39999999999998" customHeight="1" x14ac:dyDescent="0.3">
      <c r="A31" s="20" t="s">
        <v>44</v>
      </c>
      <c r="B31" s="22" t="s">
        <v>45</v>
      </c>
      <c r="C31" s="22" t="s">
        <v>46</v>
      </c>
      <c r="D31" s="22" t="s">
        <v>47</v>
      </c>
      <c r="E31" s="22" t="s">
        <v>48</v>
      </c>
      <c r="F31" s="27" t="s">
        <v>57</v>
      </c>
    </row>
    <row r="32" spans="1:6" x14ac:dyDescent="0.3">
      <c r="A32" s="21"/>
      <c r="B32" s="21"/>
      <c r="C32" s="21"/>
      <c r="D32" s="21"/>
      <c r="E32" s="21"/>
      <c r="F32" s="21"/>
    </row>
    <row r="33" spans="1:6" x14ac:dyDescent="0.3">
      <c r="A33" s="21"/>
      <c r="B33" s="21"/>
      <c r="C33" s="21"/>
      <c r="D33" s="21"/>
      <c r="E33" s="21"/>
      <c r="F33" s="21"/>
    </row>
    <row r="34" spans="1:6" ht="15" customHeight="1" thickBot="1" x14ac:dyDescent="0.35">
      <c r="A34" s="21"/>
      <c r="B34" s="23"/>
      <c r="C34" s="23"/>
      <c r="D34" s="23"/>
      <c r="E34" s="23"/>
      <c r="F34" s="23"/>
    </row>
    <row r="35" spans="1:6" ht="15" customHeight="1" thickBot="1" x14ac:dyDescent="0.35">
      <c r="A35" s="18"/>
      <c r="B35" s="19" t="str">
        <f>"0-12"</f>
        <v>0-12</v>
      </c>
      <c r="C35" s="19" t="str">
        <f>"13-18"</f>
        <v>13-18</v>
      </c>
      <c r="D35" s="19" t="str">
        <f>"19-22"</f>
        <v>19-22</v>
      </c>
      <c r="E35" s="19" t="str">
        <f>"23-25"</f>
        <v>23-25</v>
      </c>
      <c r="F35" s="19">
        <v>13</v>
      </c>
    </row>
    <row r="36" spans="1:6" ht="79.2" customHeight="1" x14ac:dyDescent="0.3">
      <c r="A36" s="20" t="s">
        <v>49</v>
      </c>
      <c r="B36" s="22" t="s">
        <v>50</v>
      </c>
      <c r="C36" s="22" t="s">
        <v>51</v>
      </c>
      <c r="D36" s="22" t="s">
        <v>52</v>
      </c>
      <c r="E36" s="22" t="s">
        <v>53</v>
      </c>
      <c r="F36" s="27" t="s">
        <v>54</v>
      </c>
    </row>
    <row r="37" spans="1:6" x14ac:dyDescent="0.3">
      <c r="A37" s="21"/>
      <c r="B37" s="21"/>
      <c r="C37" s="21"/>
      <c r="D37" s="21"/>
      <c r="E37" s="21"/>
      <c r="F37" s="21"/>
    </row>
    <row r="38" spans="1:6" x14ac:dyDescent="0.3">
      <c r="A38" s="21"/>
      <c r="B38" s="21"/>
      <c r="C38" s="21"/>
      <c r="D38" s="21"/>
      <c r="E38" s="21"/>
      <c r="F38" s="21"/>
    </row>
    <row r="39" spans="1:6" ht="15" customHeight="1" thickBot="1" x14ac:dyDescent="0.35">
      <c r="A39" s="21"/>
      <c r="B39" s="23"/>
      <c r="C39" s="23"/>
      <c r="D39" s="23"/>
      <c r="E39" s="23"/>
      <c r="F39" s="23"/>
    </row>
    <row r="40" spans="1:6" ht="15" customHeight="1" thickBot="1" x14ac:dyDescent="0.35">
      <c r="A40" s="18"/>
      <c r="B40" s="19" t="str">
        <f>"0-4"</f>
        <v>0-4</v>
      </c>
      <c r="C40" s="19" t="str">
        <f>"5-7"</f>
        <v>5-7</v>
      </c>
      <c r="D40" s="19" t="str">
        <f>"8-9"</f>
        <v>8-9</v>
      </c>
      <c r="E40" s="19" t="str">
        <f>"10"</f>
        <v>10</v>
      </c>
      <c r="F40" s="19">
        <v>0</v>
      </c>
    </row>
  </sheetData>
  <mergeCells count="45">
    <mergeCell ref="A1:F1"/>
    <mergeCell ref="B26:B29"/>
    <mergeCell ref="D26:D29"/>
    <mergeCell ref="E21:E24"/>
    <mergeCell ref="F11:F14"/>
    <mergeCell ref="B16:B19"/>
    <mergeCell ref="B4:C4"/>
    <mergeCell ref="E26:E29"/>
    <mergeCell ref="B36:B39"/>
    <mergeCell ref="B6:C6"/>
    <mergeCell ref="A31:A34"/>
    <mergeCell ref="B5:C5"/>
    <mergeCell ref="F36:F39"/>
    <mergeCell ref="B2:C2"/>
    <mergeCell ref="F26:F29"/>
    <mergeCell ref="F21:F24"/>
    <mergeCell ref="E31:E34"/>
    <mergeCell ref="C16:C19"/>
    <mergeCell ref="A8:F8"/>
    <mergeCell ref="D16:D19"/>
    <mergeCell ref="A21:A24"/>
    <mergeCell ref="C21:C24"/>
    <mergeCell ref="C31:C34"/>
    <mergeCell ref="E36:E39"/>
    <mergeCell ref="F31:F34"/>
    <mergeCell ref="A26:A29"/>
    <mergeCell ref="A9:F9"/>
    <mergeCell ref="C36:C39"/>
    <mergeCell ref="F16:F19"/>
    <mergeCell ref="B21:B24"/>
    <mergeCell ref="A11:A14"/>
    <mergeCell ref="D21:D24"/>
    <mergeCell ref="B11:B14"/>
    <mergeCell ref="D11:D14"/>
    <mergeCell ref="A16:A19"/>
    <mergeCell ref="C11:C14"/>
    <mergeCell ref="E16:E19"/>
    <mergeCell ref="E11:E14"/>
    <mergeCell ref="A36:A39"/>
    <mergeCell ref="B31:B34"/>
    <mergeCell ref="B7:C7"/>
    <mergeCell ref="D31:D34"/>
    <mergeCell ref="B3:C3"/>
    <mergeCell ref="C26:C29"/>
    <mergeCell ref="D36:D39"/>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Prinsloo</dc:creator>
  <cp:lastModifiedBy>Matthew Prinsloo</cp:lastModifiedBy>
  <dcterms:created xsi:type="dcterms:W3CDTF">2025-09-20T12:00:18Z</dcterms:created>
  <dcterms:modified xsi:type="dcterms:W3CDTF">2025-09-25T08:25:23Z</dcterms:modified>
</cp:coreProperties>
</file>